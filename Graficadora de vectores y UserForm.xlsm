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im\Desktop\"/>
    </mc:Choice>
  </mc:AlternateContent>
  <xr:revisionPtr revIDLastSave="0" documentId="13_ncr:1_{EC2C6F7E-A523-4EDE-948E-7C39BCBF1514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Base_Datos" sheetId="1" r:id="rId1"/>
    <sheet name="Aux" sheetId="2" state="hidden" r:id="rId2"/>
    <sheet name="Vectores" sheetId="3" r:id="rId3"/>
    <sheet name="Hoja1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3" l="1"/>
  <c r="H4" i="3" s="1"/>
  <c r="G5" i="3"/>
  <c r="H5" i="3" s="1"/>
  <c r="I4" i="3" l="1"/>
  <c r="I5" i="3"/>
  <c r="H6" i="3"/>
  <c r="I6" i="3" l="1"/>
  <c r="J4" i="3" s="1"/>
  <c r="C6" i="3" l="1"/>
  <c r="G6" i="3" s="1"/>
  <c r="D6" i="3" s="1"/>
  <c r="E6" i="3" l="1"/>
  <c r="F6" i="3" s="1"/>
</calcChain>
</file>

<file path=xl/sharedStrings.xml><?xml version="1.0" encoding="utf-8"?>
<sst xmlns="http://schemas.openxmlformats.org/spreadsheetml/2006/main" count="61" uniqueCount="45">
  <si>
    <t>Nombre</t>
  </si>
  <si>
    <t>Apellido</t>
  </si>
  <si>
    <t>Carrera</t>
  </si>
  <si>
    <t>Semestre</t>
  </si>
  <si>
    <t>1er Semestre</t>
  </si>
  <si>
    <t>2do Semestre</t>
  </si>
  <si>
    <t>3er Semestre</t>
  </si>
  <si>
    <t>4to Semestre</t>
  </si>
  <si>
    <t>5to Semestre</t>
  </si>
  <si>
    <t>6to Semestre</t>
  </si>
  <si>
    <t>7mo Semestre</t>
  </si>
  <si>
    <t>8vo Semestre</t>
  </si>
  <si>
    <t>Harim</t>
  </si>
  <si>
    <t>ICA</t>
  </si>
  <si>
    <t>Agregar</t>
  </si>
  <si>
    <t>II</t>
  </si>
  <si>
    <t>Emi</t>
  </si>
  <si>
    <t>Rodo</t>
  </si>
  <si>
    <t>Esme</t>
  </si>
  <si>
    <t>López</t>
  </si>
  <si>
    <t>IM</t>
  </si>
  <si>
    <t>Viviana</t>
  </si>
  <si>
    <t>Hernandez</t>
  </si>
  <si>
    <t>Valeria</t>
  </si>
  <si>
    <t>Pérez</t>
  </si>
  <si>
    <t>Graficar</t>
  </si>
  <si>
    <t>Resultante</t>
  </si>
  <si>
    <t>B</t>
  </si>
  <si>
    <t>A</t>
  </si>
  <si>
    <t>Y</t>
  </si>
  <si>
    <t>X</t>
  </si>
  <si>
    <t>Dirección</t>
  </si>
  <si>
    <t>Segundos</t>
  </si>
  <si>
    <t>Minutos</t>
  </si>
  <si>
    <t>Grados</t>
  </si>
  <si>
    <t>Magnitud</t>
  </si>
  <si>
    <t>VECTORES</t>
  </si>
  <si>
    <t>Juan</t>
  </si>
  <si>
    <t>García</t>
  </si>
  <si>
    <t>Ana</t>
  </si>
  <si>
    <t>Macías</t>
  </si>
  <si>
    <t>Roberto</t>
  </si>
  <si>
    <t>Rodríguez</t>
  </si>
  <si>
    <t>Hidal</t>
  </si>
  <si>
    <t>Barba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</si>
</sst>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\ &quot;N&quot;"/>
    <numFmt numFmtId="165" formatCode="0\ &quot;N&quot;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0" fillId="0" borderId="0" xfId="0" applyNumberFormat="1"/>
    <xf numFmtId="2" fontId="0" fillId="0" borderId="0" xfId="0" applyNumberFormat="1"/>
    <xf numFmtId="0" fontId="1" fillId="0" borderId="0" xfId="0" applyFont="1" applyAlignment="1">
      <alignment horizontal="right"/>
    </xf>
    <xf numFmtId="2" fontId="1" fillId="0" borderId="0" xfId="0" applyNumberFormat="1" applyFont="1" applyAlignment="1">
      <alignment horizontal="right"/>
    </xf>
    <xf numFmtId="164" fontId="1" fillId="0" borderId="0" xfId="0" applyNumberFormat="1" applyFont="1" applyAlignment="1">
      <alignment horizontal="right"/>
    </xf>
    <xf numFmtId="2" fontId="0" fillId="2" borderId="1" xfId="0" applyNumberFormat="1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1" fontId="0" fillId="2" borderId="2" xfId="0" applyNumberForma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2" fontId="2" fillId="0" borderId="0" xfId="0" applyNumberFormat="1" applyFont="1"/>
    <xf numFmtId="2" fontId="0" fillId="2" borderId="9" xfId="0" applyNumberFormat="1" applyFill="1" applyBorder="1" applyAlignment="1">
      <alignment horizontal="center" vertical="center"/>
    </xf>
    <xf numFmtId="2" fontId="0" fillId="2" borderId="10" xfId="0" applyNumberForma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4" borderId="10" xfId="0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" fillId="0" borderId="0" xfId="0" applyFont="1" applyAlignment="1" applyProtection="1">
      <alignment horizontal="center" vertical="center"/>
      <protection locked="0"/>
    </xf>
    <xf numFmtId="165" fontId="0" fillId="4" borderId="11" xfId="0" applyNumberFormat="1" applyFill="1" applyBorder="1" applyAlignment="1" applyProtection="1">
      <alignment horizontal="center" vertical="center"/>
      <protection locked="0"/>
    </xf>
    <xf numFmtId="165" fontId="0" fillId="4" borderId="7" xfId="0" applyNumberFormat="1" applyFill="1" applyBorder="1" applyAlignment="1" applyProtection="1">
      <alignment horizontal="center" vertical="center"/>
      <protection locked="0"/>
    </xf>
    <xf numFmtId="165" fontId="1" fillId="2" borderId="3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546649</xdr:colOff>
      <xdr:row>1</xdr:row>
      <xdr:rowOff>190499</xdr:rowOff>
    </xdr:from>
    <xdr:to>
      <xdr:col>7</xdr:col>
      <xdr:colOff>82824</xdr:colOff>
      <xdr:row>6</xdr:row>
      <xdr:rowOff>0</xdr:rowOff>
    </xdr:to>
    <xdr:pic macro="[0]!MostrarMenu">
      <xdr:nvPicPr>
        <xdr:cNvPr id="3" name="Gráfico 2" descr="Libreta de direcciones con relleno sólido">
          <a:extLst>
            <a:ext uri="{FF2B5EF4-FFF2-40B4-BE49-F238E27FC236}">
              <a16:creationId xmlns:a16="http://schemas.microsoft.com/office/drawing/2014/main" id="{8B8C1B71-5825-4AF3-8D15-AFF8C4AE2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98062" y="563216"/>
          <a:ext cx="762001" cy="7620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19050</xdr:colOff>
      <xdr:row>2</xdr:row>
      <xdr:rowOff>76200</xdr:rowOff>
    </xdr:from>
    <xdr:ext cx="628650" cy="628650"/>
    <xdr:pic macro="[0]!Graficadora">
      <xdr:nvPicPr>
        <xdr:cNvPr id="2" name="Gráfico 1" descr="Regla triangular con relleno sólido">
          <a:extLst>
            <a:ext uri="{FF2B5EF4-FFF2-40B4-BE49-F238E27FC236}">
              <a16:creationId xmlns:a16="http://schemas.microsoft.com/office/drawing/2014/main" id="{0D5F5CCD-6D1C-4562-BA06-7C84B6627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15050" y="457200"/>
          <a:ext cx="628650" cy="6286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10</xdr:row>
      <xdr:rowOff>0</xdr:rowOff>
    </xdr:from>
    <xdr:to>
      <xdr:col>4</xdr:col>
      <xdr:colOff>635000</xdr:colOff>
      <xdr:row>10</xdr:row>
      <xdr:rowOff>0</xdr:rowOff>
    </xdr:to>
    <xdr:cxnSp macro="">
      <xdr:nvCxnSpPr>
        <xdr:cNvPr id="2" name="Conector recto de flecha 1">
          <a:extLst>
            <a:ext uri="{FF2B5EF4-FFF2-40B4-BE49-F238E27FC236}">
              <a16:creationId xmlns:a16="http://schemas.microsoft.com/office/drawing/2014/main" id="{DD7F5581-8F09-4BD6-B26A-421A6E2E8FB6}"/>
            </a:ext>
          </a:extLst>
        </xdr:cNvPr>
        <xdr:cNvCxnSpPr/>
      </xdr:nvCxnSpPr>
      <xdr:spPr>
        <a:xfrm>
          <a:off x="127000" y="1905000"/>
          <a:ext cx="3556000" cy="0"/>
        </a:xfrm>
        <a:prstGeom prst="straightConnector1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0</xdr:row>
      <xdr:rowOff>127000</xdr:rowOff>
    </xdr:from>
    <xdr:to>
      <xdr:col>2</xdr:col>
      <xdr:colOff>381000</xdr:colOff>
      <xdr:row>19</xdr:row>
      <xdr:rowOff>63500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302CDF94-64A2-4DE6-8F0B-48FD3BF21105}"/>
            </a:ext>
          </a:extLst>
        </xdr:cNvPr>
        <xdr:cNvCxnSpPr/>
      </xdr:nvCxnSpPr>
      <xdr:spPr>
        <a:xfrm>
          <a:off x="1905000" y="127000"/>
          <a:ext cx="0" cy="3556000"/>
        </a:xfrm>
        <a:prstGeom prst="straightConnector1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9</xdr:row>
      <xdr:rowOff>23704</xdr:rowOff>
    </xdr:from>
    <xdr:to>
      <xdr:col>2</xdr:col>
      <xdr:colOff>381000</xdr:colOff>
      <xdr:row>10</xdr:row>
      <xdr:rowOff>0</xdr:rowOff>
    </xdr:to>
    <xdr:cxnSp macro="">
      <xdr:nvCxnSpPr>
        <xdr:cNvPr id="4" name="Conector recto de flecha 3">
          <a:extLst>
            <a:ext uri="{FF2B5EF4-FFF2-40B4-BE49-F238E27FC236}">
              <a16:creationId xmlns:a16="http://schemas.microsoft.com/office/drawing/2014/main" id="{8CDE7239-25EC-4EAC-ACBA-77DC1577D49B}"/>
            </a:ext>
          </a:extLst>
        </xdr:cNvPr>
        <xdr:cNvCxnSpPr/>
      </xdr:nvCxnSpPr>
      <xdr:spPr>
        <a:xfrm flipH="1" flipV="1">
          <a:off x="0" y="1738204"/>
          <a:ext cx="1905000" cy="166796"/>
        </a:xfrm>
        <a:prstGeom prst="straightConnector1">
          <a:avLst/>
        </a:prstGeom>
        <a:ln w="190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</xdr:row>
      <xdr:rowOff>133530</xdr:rowOff>
    </xdr:from>
    <xdr:to>
      <xdr:col>1</xdr:col>
      <xdr:colOff>398550</xdr:colOff>
      <xdr:row>9</xdr:row>
      <xdr:rowOff>23704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AE36F839-620C-471C-942A-817D635E5CAC}"/>
            </a:ext>
          </a:extLst>
        </xdr:cNvPr>
        <xdr:cNvCxnSpPr/>
      </xdr:nvCxnSpPr>
      <xdr:spPr>
        <a:xfrm flipV="1">
          <a:off x="0" y="895530"/>
          <a:ext cx="1160550" cy="842674"/>
        </a:xfrm>
        <a:prstGeom prst="straightConnector1">
          <a:avLst/>
        </a:prstGeom>
        <a:ln w="190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398550</xdr:colOff>
      <xdr:row>4</xdr:row>
      <xdr:rowOff>133530</xdr:rowOff>
    </xdr:from>
    <xdr:to>
      <xdr:col>2</xdr:col>
      <xdr:colOff>381000</xdr:colOff>
      <xdr:row>10</xdr:row>
      <xdr:rowOff>0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6410BC8F-24DD-40CA-BDB3-9C111FFC6E42}"/>
            </a:ext>
          </a:extLst>
        </xdr:cNvPr>
        <xdr:cNvCxnSpPr/>
      </xdr:nvCxnSpPr>
      <xdr:spPr>
        <a:xfrm flipH="1" flipV="1">
          <a:off x="1160550" y="895530"/>
          <a:ext cx="744450" cy="1009470"/>
        </a:xfrm>
        <a:prstGeom prst="straightConnector1">
          <a:avLst/>
        </a:prstGeom>
        <a:ln w="190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709F0E-11BB-4F7D-8514-7A8E959DC0C0}" name="Tabla2" displayName="Tabla2" ref="B2:E11" totalsRowShown="0">
  <autoFilter ref="B2:E11" xr:uid="{35709F0E-11BB-4F7D-8514-7A8E959DC0C0}"/>
  <tableColumns count="4">
    <tableColumn id="1" xr3:uid="{5F0121B7-E31F-4D0B-BC4B-0010EBC75DC2}" name="Nombre"/>
    <tableColumn id="2" xr3:uid="{D890EBC9-ED8C-4FF5-91E6-B18AE8778220}" name="Apellido"/>
    <tableColumn id="3" xr3:uid="{95512D83-04F5-4E52-A997-EBC21AA40499}" name="Carrera"/>
    <tableColumn id="4" xr3:uid="{0676DE95-962A-4022-B0D6-B1637562A870}" name="Semestre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8"/>
  </sheetPr>
  <dimension ref="A1:H15"/>
  <sheetViews>
    <sheetView showGridLines="0" showRowColHeaders="0" zoomScale="115" zoomScaleNormal="115" workbookViewId="0">
      <selection activeCell="C13" sqref="C13"/>
    </sheetView>
  </sheetViews>
  <sheetFormatPr baseColWidth="10" defaultColWidth="0" defaultRowHeight="15" x14ac:dyDescent="0.25"/>
  <cols>
    <col min="1" max="1" width="9.140625" customWidth="1"/>
    <col min="2" max="3" width="11.5703125" customWidth="1"/>
    <col min="4" max="4" width="10.28515625" customWidth="1"/>
    <col min="5" max="5" width="15.140625" customWidth="1"/>
    <col min="6" max="8" width="9.140625" customWidth="1"/>
    <col min="9" max="16384" width="9.140625" hidden="1"/>
  </cols>
  <sheetData>
    <row r="1" spans="2:7" ht="29.25" customHeight="1" x14ac:dyDescent="0.25"/>
    <row r="2" spans="2:7" x14ac:dyDescent="0.25">
      <c r="B2" t="s">
        <v>0</v>
      </c>
      <c r="C2" t="s">
        <v>1</v>
      </c>
      <c r="D2" t="s">
        <v>2</v>
      </c>
      <c r="E2" t="s">
        <v>3</v>
      </c>
      <c r="G2" s="24" t="s">
        <v>14</v>
      </c>
    </row>
    <row r="3" spans="2:7" x14ac:dyDescent="0.25">
      <c r="B3" t="s">
        <v>41</v>
      </c>
      <c r="C3" t="s">
        <v>42</v>
      </c>
      <c r="D3" t="s">
        <v>15</v>
      </c>
      <c r="E3" t="s">
        <v>10</v>
      </c>
      <c r="G3" s="24"/>
    </row>
    <row r="4" spans="2:7" x14ac:dyDescent="0.25">
      <c r="B4" t="s">
        <v>39</v>
      </c>
      <c r="C4" t="s">
        <v>40</v>
      </c>
      <c r="D4" t="s">
        <v>20</v>
      </c>
      <c r="E4" t="s">
        <v>4</v>
      </c>
      <c r="G4" s="24"/>
    </row>
    <row r="5" spans="2:7" s="27" customFormat="1" x14ac:dyDescent="0.25">
      <c r="B5" s="27" t="s">
        <v>37</v>
      </c>
      <c r="C5" s="27" t="s">
        <v>38</v>
      </c>
      <c r="D5" s="27" t="s">
        <v>13</v>
      </c>
      <c r="E5" s="27" t="s">
        <v>9</v>
      </c>
      <c r="G5" s="28"/>
    </row>
    <row r="6" spans="2:7" x14ac:dyDescent="0.25">
      <c r="B6" t="s">
        <v>23</v>
      </c>
      <c r="C6" t="s">
        <v>24</v>
      </c>
      <c r="D6" t="s">
        <v>15</v>
      </c>
      <c r="E6" t="s">
        <v>8</v>
      </c>
      <c r="G6" s="2"/>
    </row>
    <row r="7" spans="2:7" x14ac:dyDescent="0.25">
      <c r="B7" t="s">
        <v>21</v>
      </c>
      <c r="C7" t="s">
        <v>22</v>
      </c>
      <c r="D7" t="s">
        <v>13</v>
      </c>
      <c r="E7" t="s">
        <v>5</v>
      </c>
      <c r="G7" s="2"/>
    </row>
    <row r="8" spans="2:7" x14ac:dyDescent="0.25">
      <c r="B8" t="s">
        <v>18</v>
      </c>
      <c r="C8" t="s">
        <v>19</v>
      </c>
      <c r="D8" t="s">
        <v>20</v>
      </c>
      <c r="E8" t="s">
        <v>11</v>
      </c>
      <c r="G8" s="2"/>
    </row>
    <row r="9" spans="2:7" x14ac:dyDescent="0.25">
      <c r="B9" t="s">
        <v>17</v>
      </c>
      <c r="C9" t="s">
        <v>44</v>
      </c>
      <c r="D9" t="s">
        <v>13</v>
      </c>
      <c r="E9" t="s">
        <v>9</v>
      </c>
      <c r="G9" s="2"/>
    </row>
    <row r="10" spans="2:7" x14ac:dyDescent="0.25">
      <c r="B10" t="s">
        <v>16</v>
      </c>
      <c r="C10" t="s">
        <v>24</v>
      </c>
      <c r="D10" t="s">
        <v>15</v>
      </c>
      <c r="E10" t="s">
        <v>6</v>
      </c>
      <c r="G10" s="2"/>
    </row>
    <row r="11" spans="2:7" x14ac:dyDescent="0.25">
      <c r="B11" t="s">
        <v>12</v>
      </c>
      <c r="C11" t="s">
        <v>43</v>
      </c>
      <c r="D11" t="s">
        <v>15</v>
      </c>
      <c r="E11" t="s">
        <v>6</v>
      </c>
      <c r="G11" s="2"/>
    </row>
    <row r="15" spans="2:7" x14ac:dyDescent="0.25">
      <c r="G15" s="1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3C91B-8B28-4C36-91DB-F9F21450DE5B}">
  <sheetPr codeName="Hoja2">
    <tabColor theme="8" tint="0.39997558519241921"/>
  </sheetPr>
  <dimension ref="A1:A8"/>
  <sheetViews>
    <sheetView workbookViewId="0">
      <selection activeCell="D10" sqref="D10"/>
    </sheetView>
  </sheetViews>
  <sheetFormatPr baseColWidth="10" defaultRowHeight="15" x14ac:dyDescent="0.25"/>
  <sheetData>
    <row r="1" spans="1:1" x14ac:dyDescent="0.25">
      <c r="A1" t="s">
        <v>4</v>
      </c>
    </row>
    <row r="2" spans="1:1" x14ac:dyDescent="0.25">
      <c r="A2" t="s">
        <v>5</v>
      </c>
    </row>
    <row r="3" spans="1:1" x14ac:dyDescent="0.25">
      <c r="A3" t="s">
        <v>6</v>
      </c>
    </row>
    <row r="4" spans="1:1" x14ac:dyDescent="0.25">
      <c r="A4" t="s">
        <v>7</v>
      </c>
    </row>
    <row r="5" spans="1:1" x14ac:dyDescent="0.25">
      <c r="A5" t="s">
        <v>8</v>
      </c>
    </row>
    <row r="6" spans="1:1" x14ac:dyDescent="0.25">
      <c r="A6" t="s">
        <v>9</v>
      </c>
    </row>
    <row r="7" spans="1:1" x14ac:dyDescent="0.25">
      <c r="A7" t="s">
        <v>10</v>
      </c>
    </row>
    <row r="8" spans="1:1" x14ac:dyDescent="0.25">
      <c r="A8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E443A-8105-4E14-977A-A3D750EBDEB5}">
  <sheetPr codeName="Hoja3">
    <tabColor theme="5"/>
  </sheetPr>
  <dimension ref="A1:L10"/>
  <sheetViews>
    <sheetView showGridLines="0" showRowColHeaders="0" tabSelected="1" workbookViewId="0">
      <selection activeCell="C4" sqref="C4"/>
    </sheetView>
  </sheetViews>
  <sheetFormatPr baseColWidth="10" defaultColWidth="0" defaultRowHeight="15" zeroHeight="1" x14ac:dyDescent="0.25"/>
  <cols>
    <col min="1" max="1" width="9.140625" customWidth="1"/>
    <col min="2" max="2" width="13.28515625" customWidth="1"/>
    <col min="3" max="3" width="11" style="3" customWidth="1"/>
    <col min="4" max="5" width="9.140625" customWidth="1"/>
    <col min="6" max="6" width="9.28515625" customWidth="1"/>
    <col min="7" max="7" width="10.5703125" customWidth="1"/>
    <col min="8" max="12" width="9.140625" customWidth="1"/>
    <col min="13" max="16384" width="9.140625" hidden="1"/>
  </cols>
  <sheetData>
    <row r="1" spans="1:11" x14ac:dyDescent="0.25">
      <c r="C1"/>
    </row>
    <row r="2" spans="1:11" ht="24" customHeight="1" thickBot="1" x14ac:dyDescent="0.3">
      <c r="C2"/>
    </row>
    <row r="3" spans="1:11" ht="15.75" thickBot="1" x14ac:dyDescent="0.3">
      <c r="B3" s="23" t="s">
        <v>36</v>
      </c>
      <c r="C3" s="22" t="s">
        <v>35</v>
      </c>
      <c r="D3" s="21" t="s">
        <v>34</v>
      </c>
      <c r="E3" s="21" t="s">
        <v>33</v>
      </c>
      <c r="F3" s="21" t="s">
        <v>32</v>
      </c>
      <c r="G3" s="21" t="s">
        <v>31</v>
      </c>
      <c r="H3" s="21" t="s">
        <v>30</v>
      </c>
      <c r="I3" s="20" t="s">
        <v>29</v>
      </c>
      <c r="J3" s="2"/>
    </row>
    <row r="4" spans="1:11" x14ac:dyDescent="0.25">
      <c r="B4" s="19" t="s">
        <v>28</v>
      </c>
      <c r="C4" s="29">
        <v>200</v>
      </c>
      <c r="D4" s="25">
        <v>174</v>
      </c>
      <c r="E4" s="25">
        <v>59</v>
      </c>
      <c r="F4" s="25">
        <v>46</v>
      </c>
      <c r="G4" s="18">
        <f>D4+(E4/60)+(F4/3600)</f>
        <v>174.99611111111111</v>
      </c>
      <c r="H4" s="18">
        <f>C4*COS(RADIANS(G4))</f>
        <v>-199.23775603911503</v>
      </c>
      <c r="I4" s="17">
        <f>C4*SIN(RADIANS(G4))</f>
        <v>17.444671636292963</v>
      </c>
      <c r="J4" s="16">
        <f>MAX(ABS(H4),ABS(H5),ABS(H6),ABS(I4),ABS(I5),ABS(I6))</f>
        <v>199.23775603911503</v>
      </c>
    </row>
    <row r="5" spans="1:11" ht="15.75" thickBot="1" x14ac:dyDescent="0.3">
      <c r="B5" s="15" t="s">
        <v>27</v>
      </c>
      <c r="C5" s="30">
        <v>150</v>
      </c>
      <c r="D5" s="26">
        <v>35</v>
      </c>
      <c r="E5" s="26">
        <v>58</v>
      </c>
      <c r="F5" s="26">
        <v>60</v>
      </c>
      <c r="G5" s="14">
        <f>D5+(E5/60)+(F5/3600)</f>
        <v>35.983333333333334</v>
      </c>
      <c r="H5" s="14">
        <f>C5*COS(RADIANS(G5))</f>
        <v>121.37819099156776</v>
      </c>
      <c r="I5" s="13">
        <f>C5*SIN(RADIANS(G5))</f>
        <v>88.132484088527178</v>
      </c>
    </row>
    <row r="6" spans="1:11" ht="15.75" thickBot="1" x14ac:dyDescent="0.3">
      <c r="B6" s="12" t="s">
        <v>26</v>
      </c>
      <c r="C6" s="31">
        <f>SQRT(POWER(H6,2)+POWER(I6,2))</f>
        <v>131.18173531531045</v>
      </c>
      <c r="D6" s="11">
        <f>INT(G6)</f>
        <v>126</v>
      </c>
      <c r="E6" s="11">
        <f>(G6-INT(G6))*60</f>
        <v>24.450815573354703</v>
      </c>
      <c r="F6" s="11">
        <f>((E6-INT(E6))*60)</f>
        <v>27.048934401282168</v>
      </c>
      <c r="G6" s="10">
        <f>DEGREES(ACOS(H6/C6))</f>
        <v>126.40751359288925</v>
      </c>
      <c r="H6" s="9">
        <f>SUM(H4:H5)</f>
        <v>-77.859565047547264</v>
      </c>
      <c r="I6" s="8">
        <f>SUM(I4:I5)</f>
        <v>105.57715572482014</v>
      </c>
    </row>
    <row r="7" spans="1:11" x14ac:dyDescent="0.25">
      <c r="A7" s="5"/>
      <c r="B7" s="5"/>
      <c r="C7" s="7"/>
      <c r="D7" s="5"/>
      <c r="E7" s="5"/>
      <c r="F7" s="5"/>
      <c r="G7" s="6"/>
      <c r="H7" s="6"/>
      <c r="I7" s="6"/>
      <c r="J7" s="5"/>
      <c r="K7" s="2" t="s">
        <v>25</v>
      </c>
    </row>
    <row r="8" spans="1:11" x14ac:dyDescent="0.25">
      <c r="G8" s="4"/>
    </row>
    <row r="9" spans="1:11" x14ac:dyDescent="0.25">
      <c r="G9" s="4"/>
    </row>
    <row r="10" spans="1:11" hidden="1" x14ac:dyDescent="0.25">
      <c r="G10" s="4"/>
    </row>
  </sheetData>
  <sheetProtection algorithmName="SHA-512" hashValue="TQIgfbt0iv4X6X0XEeeDJH27wQHw+1BIc9/otySwSMtCojjkIStesV22HMnojlwsTGJlS0lg7imv3J71mwfraA==" saltValue="gnZRVYCzzyYGWgbA5guR5w==" spinCount="100000" sheet="1" objects="1" scenarios="1"/>
  <conditionalFormatting sqref="E4:F5">
    <cfRule type="cellIs" dxfId="0" priority="1" operator="greaterThan">
      <formula>60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8DE8E-D345-4382-ADFA-4AAFA331CD2C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Base_Datos</vt:lpstr>
      <vt:lpstr>Aux</vt:lpstr>
      <vt:lpstr>Vectores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Harim Hidalgo</dc:creator>
  <cp:lastModifiedBy>Harim Hidalgo</cp:lastModifiedBy>
  <dcterms:created xsi:type="dcterms:W3CDTF">2015-06-05T18:19:34Z</dcterms:created>
  <dcterms:modified xsi:type="dcterms:W3CDTF">2022-08-18T16:37:26Z</dcterms:modified>
</cp:coreProperties>
</file>